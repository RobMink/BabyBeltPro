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75adbc1b1328d64/Documents/GitHub/BabyBeltPro/documentation/"/>
    </mc:Choice>
  </mc:AlternateContent>
  <xr:revisionPtr revIDLastSave="133" documentId="8_{C0675C86-CF61-45B1-818F-376B7F2C33E6}" xr6:coauthVersionLast="47" xr6:coauthVersionMax="47" xr10:uidLastSave="{465D1310-E27D-4083-89B0-0385A64CF275}"/>
  <bookViews>
    <workbookView xWindow="-38205" yWindow="4965" windowWidth="19050" windowHeight="12435" xr2:uid="{56CCDE47-8BF8-4249-AE9A-3862BA691127}"/>
  </bookViews>
  <sheets>
    <sheet name="Sheet1" sheetId="1" r:id="rId1"/>
    <sheet name="Sheet2" sheetId="2" r:id="rId2"/>
  </sheets>
  <definedNames>
    <definedName name="_xlnm._FilterDatabase" localSheetId="0" hidden="1">Sheet1!$A$1:$L$29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" i="1" l="1"/>
  <c r="I11" i="1"/>
  <c r="I25" i="1"/>
  <c r="I27" i="1"/>
  <c r="I29" i="1"/>
  <c r="I30" i="1"/>
  <c r="I33" i="1"/>
  <c r="I36" i="1"/>
  <c r="H9" i="1"/>
  <c r="H10" i="1"/>
  <c r="H11" i="1"/>
  <c r="H13" i="1"/>
  <c r="H25" i="1"/>
  <c r="H27" i="1"/>
  <c r="H28" i="1"/>
  <c r="H29" i="1"/>
  <c r="L1" i="1"/>
  <c r="I2" i="1"/>
  <c r="C30" i="1"/>
  <c r="F30" i="1" s="1"/>
  <c r="C31" i="1"/>
  <c r="F31" i="1" s="1"/>
  <c r="C32" i="1"/>
  <c r="F32" i="1" s="1"/>
  <c r="C33" i="1"/>
  <c r="F33" i="1" s="1"/>
  <c r="C34" i="1"/>
  <c r="F34" i="1" s="1"/>
  <c r="C35" i="1"/>
  <c r="F35" i="1" s="1"/>
  <c r="C36" i="1"/>
  <c r="F36" i="1" s="1"/>
  <c r="C37" i="1"/>
  <c r="F37" i="1" s="1"/>
  <c r="B30" i="1"/>
  <c r="G30" i="1" s="1"/>
  <c r="B31" i="1"/>
  <c r="G31" i="1" s="1"/>
  <c r="B32" i="1"/>
  <c r="G32" i="1" s="1"/>
  <c r="B33" i="1"/>
  <c r="G33" i="1" s="1"/>
  <c r="B34" i="1"/>
  <c r="G34" i="1" s="1"/>
  <c r="B35" i="1"/>
  <c r="G35" i="1" s="1"/>
  <c r="B36" i="1"/>
  <c r="G36" i="1" s="1"/>
  <c r="B37" i="1"/>
  <c r="G37" i="1" s="1"/>
  <c r="C4" i="1"/>
  <c r="F4" i="1" s="1"/>
  <c r="C5" i="1"/>
  <c r="F5" i="1" s="1"/>
  <c r="C6" i="1"/>
  <c r="F6" i="1" s="1"/>
  <c r="C7" i="1"/>
  <c r="F7" i="1" s="1"/>
  <c r="C8" i="1"/>
  <c r="F8" i="1" s="1"/>
  <c r="C9" i="1"/>
  <c r="C10" i="1"/>
  <c r="F10" i="1" s="1"/>
  <c r="C11" i="1"/>
  <c r="F11" i="1" s="1"/>
  <c r="C12" i="1"/>
  <c r="F12" i="1" s="1"/>
  <c r="C13" i="1"/>
  <c r="F13" i="1" s="1"/>
  <c r="C14" i="1"/>
  <c r="F14" i="1" s="1"/>
  <c r="C15" i="1"/>
  <c r="F15" i="1" s="1"/>
  <c r="C16" i="1"/>
  <c r="F16" i="1" s="1"/>
  <c r="C17" i="1"/>
  <c r="F17" i="1" s="1"/>
  <c r="C18" i="1"/>
  <c r="F18" i="1" s="1"/>
  <c r="C19" i="1"/>
  <c r="C20" i="1"/>
  <c r="F20" i="1" s="1"/>
  <c r="C21" i="1"/>
  <c r="C22" i="1"/>
  <c r="C23" i="1"/>
  <c r="C24" i="1"/>
  <c r="F24" i="1" s="1"/>
  <c r="C25" i="1"/>
  <c r="F25" i="1" s="1"/>
  <c r="C26" i="1"/>
  <c r="F26" i="1" s="1"/>
  <c r="C27" i="1"/>
  <c r="F27" i="1" s="1"/>
  <c r="C28" i="1"/>
  <c r="F28" i="1" s="1"/>
  <c r="C29" i="1"/>
  <c r="C3" i="1"/>
  <c r="B4" i="1"/>
  <c r="I4" i="1" s="1"/>
  <c r="B5" i="1"/>
  <c r="I5" i="1" s="1"/>
  <c r="B6" i="1"/>
  <c r="I6" i="1" s="1"/>
  <c r="B7" i="1"/>
  <c r="H7" i="1" s="1"/>
  <c r="B8" i="1"/>
  <c r="I8" i="1" s="1"/>
  <c r="B9" i="1"/>
  <c r="B10" i="1"/>
  <c r="I10" i="1" s="1"/>
  <c r="B11" i="1"/>
  <c r="B12" i="1"/>
  <c r="I12" i="1" s="1"/>
  <c r="B13" i="1"/>
  <c r="G13" i="1" s="1"/>
  <c r="B14" i="1"/>
  <c r="I14" i="1" s="1"/>
  <c r="B15" i="1"/>
  <c r="I15" i="1" s="1"/>
  <c r="B16" i="1"/>
  <c r="I16" i="1" s="1"/>
  <c r="B17" i="1"/>
  <c r="I17" i="1" s="1"/>
  <c r="B18" i="1"/>
  <c r="H18" i="1" s="1"/>
  <c r="B19" i="1"/>
  <c r="H19" i="1" s="1"/>
  <c r="B20" i="1"/>
  <c r="I20" i="1" s="1"/>
  <c r="B21" i="1"/>
  <c r="G21" i="1" s="1"/>
  <c r="B22" i="1"/>
  <c r="G22" i="1" s="1"/>
  <c r="B23" i="1"/>
  <c r="I23" i="1" s="1"/>
  <c r="B24" i="1"/>
  <c r="G24" i="1" s="1"/>
  <c r="B25" i="1"/>
  <c r="G25" i="1" s="1"/>
  <c r="B26" i="1"/>
  <c r="I26" i="1" s="1"/>
  <c r="B27" i="1"/>
  <c r="B28" i="1"/>
  <c r="G28" i="1" s="1"/>
  <c r="B29" i="1"/>
  <c r="G29" i="1" s="1"/>
  <c r="F2" i="1"/>
  <c r="K2" i="1"/>
  <c r="J2" i="1"/>
  <c r="H2" i="1"/>
  <c r="G2" i="1"/>
  <c r="E2" i="1"/>
  <c r="D2" i="1"/>
  <c r="L2" i="1" s="1"/>
  <c r="C2" i="1"/>
  <c r="F3" i="1"/>
  <c r="B3" i="1"/>
  <c r="H3" i="1" s="1"/>
  <c r="H35" i="1" l="1"/>
  <c r="H17" i="1"/>
  <c r="I37" i="1"/>
  <c r="I19" i="1"/>
  <c r="H34" i="1"/>
  <c r="H16" i="1"/>
  <c r="I18" i="1"/>
  <c r="H33" i="1"/>
  <c r="H15" i="1"/>
  <c r="I35" i="1"/>
  <c r="H32" i="1"/>
  <c r="H14" i="1"/>
  <c r="I34" i="1"/>
  <c r="H31" i="1"/>
  <c r="H30" i="1"/>
  <c r="H12" i="1"/>
  <c r="I32" i="1"/>
  <c r="I31" i="1"/>
  <c r="I13" i="1"/>
  <c r="H26" i="1"/>
  <c r="H8" i="1"/>
  <c r="I28" i="1"/>
  <c r="E27" i="1"/>
  <c r="H24" i="1"/>
  <c r="L24" i="1" s="1"/>
  <c r="H6" i="1"/>
  <c r="I7" i="1"/>
  <c r="E26" i="1"/>
  <c r="H23" i="1"/>
  <c r="H5" i="1"/>
  <c r="H22" i="1"/>
  <c r="H4" i="1"/>
  <c r="I24" i="1"/>
  <c r="H37" i="1"/>
  <c r="D3" i="1"/>
  <c r="L3" i="1" s="1"/>
  <c r="H36" i="1"/>
  <c r="I3" i="1"/>
  <c r="I22" i="1"/>
  <c r="H21" i="1"/>
  <c r="I21" i="1"/>
  <c r="H20" i="1"/>
  <c r="D30" i="1"/>
  <c r="L30" i="1" s="1"/>
  <c r="D34" i="1"/>
  <c r="L34" i="1" s="1"/>
  <c r="D33" i="1"/>
  <c r="L33" i="1" s="1"/>
  <c r="D32" i="1"/>
  <c r="L32" i="1" s="1"/>
  <c r="D31" i="1"/>
  <c r="L31" i="1" s="1"/>
  <c r="D37" i="1"/>
  <c r="L37" i="1" s="1"/>
  <c r="D36" i="1"/>
  <c r="D35" i="1"/>
  <c r="D15" i="1"/>
  <c r="L15" i="1" s="1"/>
  <c r="E37" i="1"/>
  <c r="E36" i="1"/>
  <c r="E35" i="1"/>
  <c r="E34" i="1"/>
  <c r="E33" i="1"/>
  <c r="E32" i="1"/>
  <c r="E31" i="1"/>
  <c r="E30" i="1"/>
  <c r="E14" i="1"/>
  <c r="D18" i="1"/>
  <c r="L18" i="1" s="1"/>
  <c r="D7" i="1"/>
  <c r="D17" i="1"/>
  <c r="L17" i="1" s="1"/>
  <c r="E6" i="1"/>
  <c r="D16" i="1"/>
  <c r="E5" i="1"/>
  <c r="E4" i="1"/>
  <c r="E29" i="1"/>
  <c r="E28" i="1"/>
  <c r="E25" i="1"/>
  <c r="E24" i="1"/>
  <c r="E13" i="1"/>
  <c r="E23" i="1"/>
  <c r="E12" i="1"/>
  <c r="E22" i="1"/>
  <c r="E11" i="1"/>
  <c r="E21" i="1"/>
  <c r="E10" i="1"/>
  <c r="E20" i="1"/>
  <c r="E9" i="1"/>
  <c r="E19" i="1"/>
  <c r="E8" i="1"/>
  <c r="E18" i="1"/>
  <c r="E7" i="1"/>
  <c r="E17" i="1"/>
  <c r="E16" i="1"/>
  <c r="E3" i="1"/>
  <c r="E15" i="1"/>
  <c r="D14" i="1"/>
  <c r="L14" i="1" s="1"/>
  <c r="G18" i="1"/>
  <c r="D24" i="1"/>
  <c r="G16" i="1"/>
  <c r="D13" i="1"/>
  <c r="L13" i="1" s="1"/>
  <c r="G12" i="1"/>
  <c r="D12" i="1"/>
  <c r="L12" i="1" s="1"/>
  <c r="D11" i="1"/>
  <c r="L11" i="1" s="1"/>
  <c r="D9" i="1"/>
  <c r="D23" i="1"/>
  <c r="L23" i="1" s="1"/>
  <c r="G23" i="1"/>
  <c r="D27" i="1"/>
  <c r="D21" i="1"/>
  <c r="G7" i="1"/>
  <c r="G5" i="1"/>
  <c r="G27" i="1"/>
  <c r="G26" i="1"/>
  <c r="G20" i="1"/>
  <c r="G10" i="1"/>
  <c r="D22" i="1"/>
  <c r="L22" i="1" s="1"/>
  <c r="G11" i="1"/>
  <c r="D25" i="1"/>
  <c r="L25" i="1" s="1"/>
  <c r="G19" i="1"/>
  <c r="G9" i="1"/>
  <c r="G8" i="1"/>
  <c r="D10" i="1"/>
  <c r="L10" i="1" s="1"/>
  <c r="G17" i="1"/>
  <c r="G6" i="1"/>
  <c r="F22" i="1"/>
  <c r="G15" i="1"/>
  <c r="G4" i="1"/>
  <c r="D29" i="1"/>
  <c r="D20" i="1"/>
  <c r="D8" i="1"/>
  <c r="D28" i="1"/>
  <c r="L28" i="1" s="1"/>
  <c r="D19" i="1"/>
  <c r="F21" i="1"/>
  <c r="G14" i="1"/>
  <c r="D26" i="1"/>
  <c r="L26" i="1" s="1"/>
  <c r="D5" i="1"/>
  <c r="D6" i="1"/>
  <c r="L6" i="1" s="1"/>
  <c r="D4" i="1"/>
  <c r="L4" i="1" s="1"/>
  <c r="F29" i="1"/>
  <c r="F23" i="1"/>
  <c r="F19" i="1"/>
  <c r="F9" i="1"/>
  <c r="G3" i="1"/>
  <c r="L8" i="1" l="1"/>
  <c r="L16" i="1"/>
  <c r="L36" i="1"/>
  <c r="L5" i="1"/>
  <c r="L7" i="1"/>
  <c r="L19" i="1"/>
  <c r="L35" i="1"/>
  <c r="L29" i="1"/>
  <c r="L27" i="1"/>
  <c r="L9" i="1"/>
  <c r="L21" i="1"/>
  <c r="L20" i="1"/>
</calcChain>
</file>

<file path=xl/sharedStrings.xml><?xml version="1.0" encoding="utf-8"?>
<sst xmlns="http://schemas.openxmlformats.org/spreadsheetml/2006/main" count="117" uniqueCount="49">
  <si>
    <t>Name</t>
  </si>
  <si>
    <t>Image</t>
  </si>
  <si>
    <t>Color</t>
  </si>
  <si>
    <t>Supports</t>
  </si>
  <si>
    <t>Description</t>
  </si>
  <si>
    <t>Filename</t>
  </si>
  <si>
    <t>File Path</t>
  </si>
  <si>
    <t>Material</t>
  </si>
  <si>
    <t>Area</t>
  </si>
  <si>
    <t>./STLs/Frame/BBProV25fl_scraper.stl</t>
  </si>
  <si>
    <t>./STLs/Frame/BBProV25fl_Side-A.stl</t>
  </si>
  <si>
    <t>./STLs/Frame/BBProV25fl_Side-B.stl</t>
  </si>
  <si>
    <t>./STLs/Frame/[s]_BBProV24fl_Screenmount.stl</t>
  </si>
  <si>
    <t>./STLs/Gantry/Carriage/Bambu/[a]_BBProV25fl_YCar_Bam_BeltHolder.stl</t>
  </si>
  <si>
    <t>./STLs/Gantry/Carriage/Bambu/[a]_BBProV25fl_YCar_Bam_Fan.stl</t>
  </si>
  <si>
    <t>./STLs/Gantry/Carriage/Bambu/[a]_BBProV25fl_YCar_Bam_SideB.stl</t>
  </si>
  <si>
    <t>./STLs/Gantry/X/[a]_BBProV25fl_pivotArm(2x).stl</t>
  </si>
  <si>
    <t>./STLs/Gantry/X/[a]_BBProV25fl_XPivotClamp(2x).stl</t>
  </si>
  <si>
    <t>./STLs/Gantry/Y/BBProV25fl_LinearRailReplacement.stl</t>
  </si>
  <si>
    <t>./STLs/Gantry/Y/BBProV25fl_RockMonsterNo1YTentionerNut.stl</t>
  </si>
  <si>
    <t>./STLs/Gantry/Y/LDO Kit - Toolboard Mount v1.stl</t>
  </si>
  <si>
    <t>./STLs/Gantry/Y/[a]_BBProV25fl_RockMonsterNo1YTentionerIdlerHolder.stl</t>
  </si>
  <si>
    <t>./STLs/PrintBelt/[a]_BBProV25fl_PrintBelt-Frame-A.stl</t>
  </si>
  <si>
    <t>./STLs/PrintBelt/[a]_BBProV25fl_PrintBelt-Frame-B.stl</t>
  </si>
  <si>
    <t>./STLs/PrintBelt/[a]_BBProV25fl_PrintBelt-Nut(2x).stl</t>
  </si>
  <si>
    <t>./STLs/PrintBelt/[a]_BBProV25fl_PrintBelt-Pusher-A.stl</t>
  </si>
  <si>
    <t>./STLs/PrintBelt/[a]_BBProV25fl_PrintBelt-Pusher-B.stl</t>
  </si>
  <si>
    <t>./STLs/ZBeltDrive/[a,s]_BBProV25fl_Roller[x2].stl</t>
  </si>
  <si>
    <t>./STLs/ZBeltDrive/[a]_BBProV25fl_Nema17_ZGear.stl</t>
  </si>
  <si>
    <t>./STLs/ZBeltDrive/[a]_BBProV25fl_Roller_ZGear.stl</t>
  </si>
  <si>
    <t>./STLs/ZBeltDrive/[HT]_BBProV25fl_UnderbedOrBed.stl</t>
  </si>
  <si>
    <t>Path (find ./STLs -type f )</t>
  </si>
  <si>
    <t>./STLs/Gantry/Carriage/Bambu/ECAS version/[a]_BBProV25fl_YCar_Bam_SideA_ECAS.stl</t>
  </si>
  <si>
    <t>./STLs/Gantry/Carriage/Bambu/ECAS version/[a]_BBProV25fl_YCar_Bam_SideB_ecas-Looser.stl</t>
  </si>
  <si>
    <t>./STLs/Gantry/Carriage/Bambu/ECAS version/[a]_BBProV25fl_YCar_Bam_SideB_ecas-Tight.stl</t>
  </si>
  <si>
    <t>./STLs/Gantry/Carriage/Bambu/[a]_BBProV26fl_YCar_Bam_SideA.stl</t>
  </si>
  <si>
    <t>./STLs/Gantry/X/BBProV26fl_X-CarraigeMotorMount.stl</t>
  </si>
  <si>
    <t>./STLs/Gantry/X/[a]_BBProV26fl_XrailMount-SideA.stl</t>
  </si>
  <si>
    <t>./STLs/Gantry/X/[a]_BBProV26fl_XrailMount-SideB.stl</t>
  </si>
  <si>
    <t>./STLs/Gantry/Y/BBProV26fl_LinearRailReplacement.stl</t>
  </si>
  <si>
    <t>./STLs/Gantry/Y/[a]_BBProV26fl_RockMonsterNo1YTentionerBody.stl</t>
  </si>
  <si>
    <t>./STLs/ZBeltDrive/[HT]_BBProV25fl_Underbed-notforbed-FOR_LDO_HEATBED.stl</t>
  </si>
  <si>
    <t>&gt;= PLA</t>
  </si>
  <si>
    <t>&gt;= PETG</t>
  </si>
  <si>
    <t>./STLs/Gantry/X/[i]_BBProV26fl_X-Carraige.stl</t>
  </si>
  <si>
    <t>Heat-Sets</t>
  </si>
  <si>
    <t>./STLs/Gantry/X/[ai]_BBProV26fl_XrailMountUnder-SideA.stl</t>
  </si>
  <si>
    <t>./STLs/Gantry/X/[ai]_BBProV26fl_XrailMountUnder-SideB.stl</t>
  </si>
  <si>
    <t>./STLs/Tools/[any]_BBPro_XRailSpacerV2[x2].stl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</si>
</sst>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80A11F-D4A9-4A4B-AA84-1AE963FFD50F}">
  <dimension ref="A1:L37"/>
  <sheetViews>
    <sheetView tabSelected="1" workbookViewId="0">
      <pane xSplit="1" topLeftCell="F1" activePane="topRight" state="frozen"/>
      <selection pane="topRight" activeCell="A33" sqref="A33"/>
    </sheetView>
  </sheetViews>
  <sheetFormatPr defaultRowHeight="15" x14ac:dyDescent="0.25"/>
  <cols>
    <col min="1" max="1" width="90.42578125" bestFit="1" customWidth="1"/>
    <col min="2" max="2" width="24.85546875" customWidth="1"/>
    <col min="3" max="3" width="19" customWidth="1"/>
    <col min="4" max="4" width="32.85546875" customWidth="1"/>
    <col min="5" max="5" width="153.28515625" bestFit="1" customWidth="1"/>
    <col min="6" max="6" width="52.28515625" bestFit="1" customWidth="1"/>
    <col min="7" max="7" width="10.5703125" bestFit="1" customWidth="1"/>
    <col min="10" max="10" width="12.7109375" bestFit="1" customWidth="1"/>
    <col min="11" max="11" width="11.140625" bestFit="1" customWidth="1"/>
    <col min="12" max="12" width="49" bestFit="1" customWidth="1"/>
  </cols>
  <sheetData>
    <row r="1" spans="1:12" x14ac:dyDescent="0.25">
      <c r="A1" t="s">
        <v>31</v>
      </c>
      <c r="B1" t="s">
        <v>5</v>
      </c>
      <c r="C1" t="s">
        <v>6</v>
      </c>
      <c r="D1" t="s">
        <v>0</v>
      </c>
      <c r="E1" t="s">
        <v>1</v>
      </c>
      <c r="F1" t="s">
        <v>8</v>
      </c>
      <c r="G1" t="s">
        <v>2</v>
      </c>
      <c r="H1" t="s">
        <v>3</v>
      </c>
      <c r="I1" t="s">
        <v>45</v>
      </c>
      <c r="J1" t="s">
        <v>7</v>
      </c>
      <c r="K1" t="s">
        <v>4</v>
      </c>
      <c r="L1" t="str">
        <f>"|"&amp;$D1&amp;"|"&amp;$E1&amp;"|"&amp;$F1&amp;"|"&amp;$G1&amp;"|"&amp;$H1&amp;"|"&amp;$I1&amp;"|"&amp;$J1&amp;"|"&amp;$K1</f>
        <v>|Name|Image|Area|Color|Supports|Heat-Sets|Material|Description</v>
      </c>
    </row>
    <row r="2" spans="1:12" x14ac:dyDescent="0.25">
      <c r="C2" s="1" t="str">
        <f>"-----"</f>
        <v>-----</v>
      </c>
      <c r="D2" s="1" t="str">
        <f t="shared" ref="D2:K2" si="0">"-----"</f>
        <v>-----</v>
      </c>
      <c r="E2" s="1" t="str">
        <f t="shared" si="0"/>
        <v>-----</v>
      </c>
      <c r="F2" s="1" t="str">
        <f t="shared" si="0"/>
        <v>-----</v>
      </c>
      <c r="G2" s="1" t="str">
        <f t="shared" si="0"/>
        <v>-----</v>
      </c>
      <c r="H2" s="1" t="str">
        <f t="shared" si="0"/>
        <v>-----</v>
      </c>
      <c r="I2" s="1" t="str">
        <f t="shared" si="0"/>
        <v>-----</v>
      </c>
      <c r="J2" s="1" t="str">
        <f t="shared" si="0"/>
        <v>-----</v>
      </c>
      <c r="K2" s="1" t="str">
        <f t="shared" si="0"/>
        <v>-----</v>
      </c>
      <c r="L2" t="str">
        <f t="shared" ref="L2:L37" si="1">"|"&amp;$D2&amp;"|"&amp;$E2&amp;"|"&amp;$F2&amp;"|"&amp;$G2&amp;"|"&amp;$H2&amp;"|"&amp;$I2&amp;"|"&amp;$J2&amp;"|"&amp;$K2</f>
        <v>|-----|-----|-----|-----|-----|-----|-----|-----</v>
      </c>
    </row>
    <row r="3" spans="1:12" x14ac:dyDescent="0.25">
      <c r="A3" t="s">
        <v>9</v>
      </c>
      <c r="B3" t="str">
        <f>_xlfn.TEXTAFTER($A3,"/",-1)</f>
        <v>BBProV25fl_scraper.stl</v>
      </c>
      <c r="C3" t="str">
        <f>RIGHT(_xlfn.TEXTBEFORE($A3,"/",-1),LEN(_xlfn.TEXTBEFORE($A3,"/",-1))-7)</f>
        <v>Frame</v>
      </c>
      <c r="D3" t="str">
        <f>"["&amp;LEFT($B3,LEN($B3)-4)&amp;"](../STLs/"&amp;SUBSTITUTE($C3," ","%20")&amp;"/"&amp;SUBSTITUTE($B3," ","%20")&amp;")"</f>
        <v>[BBProV25fl_scraper](../STLs/Frame/BBProV25fl_scraper.stl)</v>
      </c>
      <c r="E3" t="str">
        <f>"!["&amp;LEFT($B3,LEN($B3)-4)&amp;"](./images/printed_parts/"&amp;SUBSTITUTE($C3," ","%20")&amp;"/"&amp;SUBSTITUTE(SUBSTITUTE($B3,".stl",".jpg")," ","%20")&amp;")"</f>
        <v>![BBProV25fl_scraper](./images/printed_parts/Frame/BBProV25fl_scraper.jpg)</v>
      </c>
      <c r="F3" t="str">
        <f>$C3</f>
        <v>Frame</v>
      </c>
      <c r="G3" t="str">
        <f>IF(_xlfn.REGEXTEST($B3,"\[\S*[a][^a\]]*\]"),"Accent","Main")</f>
        <v>Main</v>
      </c>
      <c r="H3" t="str">
        <f t="shared" ref="H3:H37" si="2">IF(_xlfn.REGEXTEST($B3,"\[\S*[s][^s\]]*\]"),"Yes","No")</f>
        <v>No</v>
      </c>
      <c r="I3" t="str">
        <f>IF(_xlfn.REGEXTEST($B3,"\[\S*[i][^i\]]*\]"),"Yes","No")</f>
        <v>No</v>
      </c>
      <c r="J3" t="s">
        <v>42</v>
      </c>
      <c r="L3" t="str">
        <f t="shared" si="1"/>
        <v>|[BBProV25fl_scraper](../STLs/Frame/BBProV25fl_scraper.stl)|![BBProV25fl_scraper](./images/printed_parts/Frame/BBProV25fl_scraper.jpg)|Frame|Main|No|No|&gt;= PLA|</v>
      </c>
    </row>
    <row r="4" spans="1:12" x14ac:dyDescent="0.25">
      <c r="A4" t="s">
        <v>10</v>
      </c>
      <c r="B4" t="str">
        <f t="shared" ref="B4:B37" si="3">_xlfn.TEXTAFTER($A4,"/",-1)</f>
        <v>BBProV25fl_Side-A.stl</v>
      </c>
      <c r="C4" t="str">
        <f t="shared" ref="C4:C37" si="4">RIGHT(_xlfn.TEXTBEFORE($A4,"/",-1),LEN(_xlfn.TEXTBEFORE($A4,"/",-1))-7)</f>
        <v>Frame</v>
      </c>
      <c r="D4" t="str">
        <f t="shared" ref="D4:D37" si="5">"["&amp;LEFT($B4,LEN($B4)-4)&amp;"](../STLs/"&amp;SUBSTITUTE($C4," ","%20")&amp;"/"&amp;SUBSTITUTE($B4," ","%20")&amp;")"</f>
        <v>[BBProV25fl_Side-A](../STLs/Frame/BBProV25fl_Side-A.stl)</v>
      </c>
      <c r="E4" t="str">
        <f t="shared" ref="E4:E37" si="6">"!["&amp;LEFT($B4,LEN($B4)-4)&amp;"](./images/printed_parts/"&amp;SUBSTITUTE($C4," ","%20")&amp;"/"&amp;SUBSTITUTE(SUBSTITUTE($B4,".stl",".jpg")," ","%20")&amp;")"</f>
        <v>![BBProV25fl_Side-A](./images/printed_parts/Frame/BBProV25fl_Side-A.jpg)</v>
      </c>
      <c r="F4" t="str">
        <f t="shared" ref="F4:F37" si="7">$C4</f>
        <v>Frame</v>
      </c>
      <c r="G4" t="str">
        <f t="shared" ref="G4:G37" si="8">IF(_xlfn.REGEXTEST($B4,"\[\S*[a][^a\]]*\]"),"Accent","Main")</f>
        <v>Main</v>
      </c>
      <c r="H4" t="str">
        <f t="shared" si="2"/>
        <v>No</v>
      </c>
      <c r="I4" t="str">
        <f t="shared" ref="I4:I37" si="9">IF(_xlfn.REGEXTEST($B4,"\[\S*[i][^i\]]*\]"),"Yes","No")</f>
        <v>No</v>
      </c>
      <c r="J4" t="s">
        <v>42</v>
      </c>
      <c r="L4" t="str">
        <f t="shared" si="1"/>
        <v>|[BBProV25fl_Side-A](../STLs/Frame/BBProV25fl_Side-A.stl)|![BBProV25fl_Side-A](./images/printed_parts/Frame/BBProV25fl_Side-A.jpg)|Frame|Main|No|No|&gt;= PLA|</v>
      </c>
    </row>
    <row r="5" spans="1:12" x14ac:dyDescent="0.25">
      <c r="A5" t="s">
        <v>11</v>
      </c>
      <c r="B5" t="str">
        <f t="shared" si="3"/>
        <v>BBProV25fl_Side-B.stl</v>
      </c>
      <c r="C5" t="str">
        <f t="shared" si="4"/>
        <v>Frame</v>
      </c>
      <c r="D5" t="str">
        <f t="shared" si="5"/>
        <v>[BBProV25fl_Side-B](../STLs/Frame/BBProV25fl_Side-B.stl)</v>
      </c>
      <c r="E5" t="str">
        <f t="shared" si="6"/>
        <v>![BBProV25fl_Side-B](./images/printed_parts/Frame/BBProV25fl_Side-B.jpg)</v>
      </c>
      <c r="F5" t="str">
        <f t="shared" si="7"/>
        <v>Frame</v>
      </c>
      <c r="G5" t="str">
        <f t="shared" si="8"/>
        <v>Main</v>
      </c>
      <c r="H5" t="str">
        <f t="shared" si="2"/>
        <v>No</v>
      </c>
      <c r="I5" t="str">
        <f t="shared" si="9"/>
        <v>No</v>
      </c>
      <c r="J5" t="s">
        <v>42</v>
      </c>
      <c r="L5" t="str">
        <f t="shared" si="1"/>
        <v>|[BBProV25fl_Side-B](../STLs/Frame/BBProV25fl_Side-B.stl)|![BBProV25fl_Side-B](./images/printed_parts/Frame/BBProV25fl_Side-B.jpg)|Frame|Main|No|No|&gt;= PLA|</v>
      </c>
    </row>
    <row r="6" spans="1:12" x14ac:dyDescent="0.25">
      <c r="A6" t="s">
        <v>12</v>
      </c>
      <c r="B6" t="str">
        <f t="shared" si="3"/>
        <v>[s]_BBProV24fl_Screenmount.stl</v>
      </c>
      <c r="C6" t="str">
        <f t="shared" si="4"/>
        <v>Frame</v>
      </c>
      <c r="D6" t="str">
        <f t="shared" si="5"/>
        <v>[[s]_BBProV24fl_Screenmount](../STLs/Frame/[s]_BBProV24fl_Screenmount.stl)</v>
      </c>
      <c r="E6" t="str">
        <f t="shared" si="6"/>
        <v>![[s]_BBProV24fl_Screenmount](./images/printed_parts/Frame/[s]_BBProV24fl_Screenmount.jpg)</v>
      </c>
      <c r="F6" t="str">
        <f t="shared" si="7"/>
        <v>Frame</v>
      </c>
      <c r="G6" t="str">
        <f t="shared" si="8"/>
        <v>Main</v>
      </c>
      <c r="H6" t="str">
        <f t="shared" si="2"/>
        <v>Yes</v>
      </c>
      <c r="I6" t="str">
        <f t="shared" si="9"/>
        <v>No</v>
      </c>
      <c r="J6" t="s">
        <v>42</v>
      </c>
      <c r="L6" t="str">
        <f t="shared" si="1"/>
        <v>|[[s]_BBProV24fl_Screenmount](../STLs/Frame/[s]_BBProV24fl_Screenmount.stl)|![[s]_BBProV24fl_Screenmount](./images/printed_parts/Frame/[s]_BBProV24fl_Screenmount.jpg)|Frame|Main|Yes|No|&gt;= PLA|</v>
      </c>
    </row>
    <row r="7" spans="1:12" x14ac:dyDescent="0.25">
      <c r="A7" t="s">
        <v>32</v>
      </c>
      <c r="B7" t="str">
        <f t="shared" si="3"/>
        <v>[a]_BBProV25fl_YCar_Bam_SideA_ECAS.stl</v>
      </c>
      <c r="C7" t="str">
        <f t="shared" si="4"/>
        <v>Gantry/Carriage/Bambu/ECAS version</v>
      </c>
      <c r="D7" t="str">
        <f t="shared" si="5"/>
        <v>[[a]_BBProV25fl_YCar_Bam_SideA_ECAS](../STLs/Gantry/Carriage/Bambu/ECAS%20version/[a]_BBProV25fl_YCar_Bam_SideA_ECAS.stl)</v>
      </c>
      <c r="E7" t="str">
        <f t="shared" si="6"/>
        <v>![[a]_BBProV25fl_YCar_Bam_SideA_ECAS](./images/printed_parts/Gantry/Carriage/Bambu/ECAS%20version/[a]_BBProV25fl_YCar_Bam_SideA_ECAS.jpg)</v>
      </c>
      <c r="F7" t="str">
        <f t="shared" si="7"/>
        <v>Gantry/Carriage/Bambu/ECAS version</v>
      </c>
      <c r="G7" t="str">
        <f t="shared" si="8"/>
        <v>Accent</v>
      </c>
      <c r="H7" t="str">
        <f t="shared" si="2"/>
        <v>No</v>
      </c>
      <c r="I7" t="str">
        <f t="shared" si="9"/>
        <v>No</v>
      </c>
      <c r="J7" t="s">
        <v>42</v>
      </c>
      <c r="L7" t="str">
        <f t="shared" si="1"/>
        <v>|[[a]_BBProV25fl_YCar_Bam_SideA_ECAS](../STLs/Gantry/Carriage/Bambu/ECAS%20version/[a]_BBProV25fl_YCar_Bam_SideA_ECAS.stl)|![[a]_BBProV25fl_YCar_Bam_SideA_ECAS](./images/printed_parts/Gantry/Carriage/Bambu/ECAS%20version/[a]_BBProV25fl_YCar_Bam_SideA_ECAS.jpg)|Gantry/Carriage/Bambu/ECAS version|Accent|No|No|&gt;= PLA|</v>
      </c>
    </row>
    <row r="8" spans="1:12" x14ac:dyDescent="0.25">
      <c r="A8" t="s">
        <v>33</v>
      </c>
      <c r="B8" t="str">
        <f t="shared" si="3"/>
        <v>[a]_BBProV25fl_YCar_Bam_SideB_ecas-Looser.stl</v>
      </c>
      <c r="C8" t="str">
        <f t="shared" si="4"/>
        <v>Gantry/Carriage/Bambu/ECAS version</v>
      </c>
      <c r="D8" t="str">
        <f t="shared" si="5"/>
        <v>[[a]_BBProV25fl_YCar_Bam_SideB_ecas-Looser](../STLs/Gantry/Carriage/Bambu/ECAS%20version/[a]_BBProV25fl_YCar_Bam_SideB_ecas-Looser.stl)</v>
      </c>
      <c r="E8" t="str">
        <f t="shared" si="6"/>
        <v>![[a]_BBProV25fl_YCar_Bam_SideB_ecas-Looser](./images/printed_parts/Gantry/Carriage/Bambu/ECAS%20version/[a]_BBProV25fl_YCar_Bam_SideB_ecas-Looser.jpg)</v>
      </c>
      <c r="F8" t="str">
        <f t="shared" si="7"/>
        <v>Gantry/Carriage/Bambu/ECAS version</v>
      </c>
      <c r="G8" t="str">
        <f t="shared" si="8"/>
        <v>Accent</v>
      </c>
      <c r="H8" t="str">
        <f t="shared" si="2"/>
        <v>No</v>
      </c>
      <c r="I8" t="str">
        <f t="shared" si="9"/>
        <v>No</v>
      </c>
      <c r="J8" t="s">
        <v>42</v>
      </c>
      <c r="L8" t="str">
        <f t="shared" si="1"/>
        <v>|[[a]_BBProV25fl_YCar_Bam_SideB_ecas-Looser](../STLs/Gantry/Carriage/Bambu/ECAS%20version/[a]_BBProV25fl_YCar_Bam_SideB_ecas-Looser.stl)|![[a]_BBProV25fl_YCar_Bam_SideB_ecas-Looser](./images/printed_parts/Gantry/Carriage/Bambu/ECAS%20version/[a]_BBProV25fl_YCar_Bam_SideB_ecas-Looser.jpg)|Gantry/Carriage/Bambu/ECAS version|Accent|No|No|&gt;= PLA|</v>
      </c>
    </row>
    <row r="9" spans="1:12" x14ac:dyDescent="0.25">
      <c r="A9" t="s">
        <v>34</v>
      </c>
      <c r="B9" t="str">
        <f t="shared" si="3"/>
        <v>[a]_BBProV25fl_YCar_Bam_SideB_ecas-Tight.stl</v>
      </c>
      <c r="C9" t="str">
        <f t="shared" si="4"/>
        <v>Gantry/Carriage/Bambu/ECAS version</v>
      </c>
      <c r="D9" t="str">
        <f t="shared" si="5"/>
        <v>[[a]_BBProV25fl_YCar_Bam_SideB_ecas-Tight](../STLs/Gantry/Carriage/Bambu/ECAS%20version/[a]_BBProV25fl_YCar_Bam_SideB_ecas-Tight.stl)</v>
      </c>
      <c r="E9" t="str">
        <f t="shared" si="6"/>
        <v>![[a]_BBProV25fl_YCar_Bam_SideB_ecas-Tight](./images/printed_parts/Gantry/Carriage/Bambu/ECAS%20version/[a]_BBProV25fl_YCar_Bam_SideB_ecas-Tight.jpg)</v>
      </c>
      <c r="F9" t="str">
        <f t="shared" si="7"/>
        <v>Gantry/Carriage/Bambu/ECAS version</v>
      </c>
      <c r="G9" t="str">
        <f t="shared" si="8"/>
        <v>Accent</v>
      </c>
      <c r="H9" t="str">
        <f t="shared" si="2"/>
        <v>No</v>
      </c>
      <c r="I9" t="str">
        <f t="shared" si="9"/>
        <v>No</v>
      </c>
      <c r="J9" t="s">
        <v>42</v>
      </c>
      <c r="L9" t="str">
        <f t="shared" si="1"/>
        <v>|[[a]_BBProV25fl_YCar_Bam_SideB_ecas-Tight](../STLs/Gantry/Carriage/Bambu/ECAS%20version/[a]_BBProV25fl_YCar_Bam_SideB_ecas-Tight.stl)|![[a]_BBProV25fl_YCar_Bam_SideB_ecas-Tight](./images/printed_parts/Gantry/Carriage/Bambu/ECAS%20version/[a]_BBProV25fl_YCar_Bam_SideB_ecas-Tight.jpg)|Gantry/Carriage/Bambu/ECAS version|Accent|No|No|&gt;= PLA|</v>
      </c>
    </row>
    <row r="10" spans="1:12" x14ac:dyDescent="0.25">
      <c r="A10" t="s">
        <v>13</v>
      </c>
      <c r="B10" t="str">
        <f t="shared" si="3"/>
        <v>[a]_BBProV25fl_YCar_Bam_BeltHolder.stl</v>
      </c>
      <c r="C10" t="str">
        <f t="shared" si="4"/>
        <v>Gantry/Carriage/Bambu</v>
      </c>
      <c r="D10" t="str">
        <f t="shared" si="5"/>
        <v>[[a]_BBProV25fl_YCar_Bam_BeltHolder](../STLs/Gantry/Carriage/Bambu/[a]_BBProV25fl_YCar_Bam_BeltHolder.stl)</v>
      </c>
      <c r="E10" t="str">
        <f t="shared" si="6"/>
        <v>![[a]_BBProV25fl_YCar_Bam_BeltHolder](./images/printed_parts/Gantry/Carriage/Bambu/[a]_BBProV25fl_YCar_Bam_BeltHolder.jpg)</v>
      </c>
      <c r="F10" t="str">
        <f t="shared" si="7"/>
        <v>Gantry/Carriage/Bambu</v>
      </c>
      <c r="G10" t="str">
        <f t="shared" si="8"/>
        <v>Accent</v>
      </c>
      <c r="H10" t="str">
        <f t="shared" si="2"/>
        <v>No</v>
      </c>
      <c r="I10" t="str">
        <f t="shared" si="9"/>
        <v>No</v>
      </c>
      <c r="J10" t="s">
        <v>42</v>
      </c>
      <c r="L10" t="str">
        <f t="shared" si="1"/>
        <v>|[[a]_BBProV25fl_YCar_Bam_BeltHolder](../STLs/Gantry/Carriage/Bambu/[a]_BBProV25fl_YCar_Bam_BeltHolder.stl)|![[a]_BBProV25fl_YCar_Bam_BeltHolder](./images/printed_parts/Gantry/Carriage/Bambu/[a]_BBProV25fl_YCar_Bam_BeltHolder.jpg)|Gantry/Carriage/Bambu|Accent|No|No|&gt;= PLA|</v>
      </c>
    </row>
    <row r="11" spans="1:12" x14ac:dyDescent="0.25">
      <c r="A11" t="s">
        <v>14</v>
      </c>
      <c r="B11" t="str">
        <f t="shared" si="3"/>
        <v>[a]_BBProV25fl_YCar_Bam_Fan.stl</v>
      </c>
      <c r="C11" t="str">
        <f t="shared" si="4"/>
        <v>Gantry/Carriage/Bambu</v>
      </c>
      <c r="D11" t="str">
        <f t="shared" si="5"/>
        <v>[[a]_BBProV25fl_YCar_Bam_Fan](../STLs/Gantry/Carriage/Bambu/[a]_BBProV25fl_YCar_Bam_Fan.stl)</v>
      </c>
      <c r="E11" t="str">
        <f t="shared" si="6"/>
        <v>![[a]_BBProV25fl_YCar_Bam_Fan](./images/printed_parts/Gantry/Carriage/Bambu/[a]_BBProV25fl_YCar_Bam_Fan.jpg)</v>
      </c>
      <c r="F11" t="str">
        <f t="shared" si="7"/>
        <v>Gantry/Carriage/Bambu</v>
      </c>
      <c r="G11" t="str">
        <f t="shared" si="8"/>
        <v>Accent</v>
      </c>
      <c r="H11" t="str">
        <f t="shared" si="2"/>
        <v>No</v>
      </c>
      <c r="I11" t="str">
        <f t="shared" si="9"/>
        <v>No</v>
      </c>
      <c r="J11" t="s">
        <v>42</v>
      </c>
      <c r="L11" t="str">
        <f t="shared" si="1"/>
        <v>|[[a]_BBProV25fl_YCar_Bam_Fan](../STLs/Gantry/Carriage/Bambu/[a]_BBProV25fl_YCar_Bam_Fan.stl)|![[a]_BBProV25fl_YCar_Bam_Fan](./images/printed_parts/Gantry/Carriage/Bambu/[a]_BBProV25fl_YCar_Bam_Fan.jpg)|Gantry/Carriage/Bambu|Accent|No|No|&gt;= PLA|</v>
      </c>
    </row>
    <row r="12" spans="1:12" x14ac:dyDescent="0.25">
      <c r="A12" t="s">
        <v>15</v>
      </c>
      <c r="B12" t="str">
        <f t="shared" si="3"/>
        <v>[a]_BBProV25fl_YCar_Bam_SideB.stl</v>
      </c>
      <c r="C12" t="str">
        <f t="shared" si="4"/>
        <v>Gantry/Carriage/Bambu</v>
      </c>
      <c r="D12" t="str">
        <f t="shared" si="5"/>
        <v>[[a]_BBProV25fl_YCar_Bam_SideB](../STLs/Gantry/Carriage/Bambu/[a]_BBProV25fl_YCar_Bam_SideB.stl)</v>
      </c>
      <c r="E12" t="str">
        <f t="shared" si="6"/>
        <v>![[a]_BBProV25fl_YCar_Bam_SideB](./images/printed_parts/Gantry/Carriage/Bambu/[a]_BBProV25fl_YCar_Bam_SideB.jpg)</v>
      </c>
      <c r="F12" t="str">
        <f t="shared" si="7"/>
        <v>Gantry/Carriage/Bambu</v>
      </c>
      <c r="G12" t="str">
        <f t="shared" si="8"/>
        <v>Accent</v>
      </c>
      <c r="H12" t="str">
        <f t="shared" si="2"/>
        <v>No</v>
      </c>
      <c r="I12" t="str">
        <f t="shared" si="9"/>
        <v>No</v>
      </c>
      <c r="J12" t="s">
        <v>42</v>
      </c>
      <c r="L12" t="str">
        <f t="shared" si="1"/>
        <v>|[[a]_BBProV25fl_YCar_Bam_SideB](../STLs/Gantry/Carriage/Bambu/[a]_BBProV25fl_YCar_Bam_SideB.stl)|![[a]_BBProV25fl_YCar_Bam_SideB](./images/printed_parts/Gantry/Carriage/Bambu/[a]_BBProV25fl_YCar_Bam_SideB.jpg)|Gantry/Carriage/Bambu|Accent|No|No|&gt;= PLA|</v>
      </c>
    </row>
    <row r="13" spans="1:12" x14ac:dyDescent="0.25">
      <c r="A13" t="s">
        <v>35</v>
      </c>
      <c r="B13" t="str">
        <f t="shared" si="3"/>
        <v>[a]_BBProV26fl_YCar_Bam_SideA.stl</v>
      </c>
      <c r="C13" t="str">
        <f t="shared" si="4"/>
        <v>Gantry/Carriage/Bambu</v>
      </c>
      <c r="D13" t="str">
        <f t="shared" si="5"/>
        <v>[[a]_BBProV26fl_YCar_Bam_SideA](../STLs/Gantry/Carriage/Bambu/[a]_BBProV26fl_YCar_Bam_SideA.stl)</v>
      </c>
      <c r="E13" t="str">
        <f t="shared" si="6"/>
        <v>![[a]_BBProV26fl_YCar_Bam_SideA](./images/printed_parts/Gantry/Carriage/Bambu/[a]_BBProV26fl_YCar_Bam_SideA.jpg)</v>
      </c>
      <c r="F13" t="str">
        <f t="shared" si="7"/>
        <v>Gantry/Carriage/Bambu</v>
      </c>
      <c r="G13" t="str">
        <f t="shared" si="8"/>
        <v>Accent</v>
      </c>
      <c r="H13" t="str">
        <f t="shared" si="2"/>
        <v>No</v>
      </c>
      <c r="I13" t="str">
        <f t="shared" si="9"/>
        <v>No</v>
      </c>
      <c r="J13" t="s">
        <v>42</v>
      </c>
      <c r="L13" t="str">
        <f t="shared" si="1"/>
        <v>|[[a]_BBProV26fl_YCar_Bam_SideA](../STLs/Gantry/Carriage/Bambu/[a]_BBProV26fl_YCar_Bam_SideA.stl)|![[a]_BBProV26fl_YCar_Bam_SideA](./images/printed_parts/Gantry/Carriage/Bambu/[a]_BBProV26fl_YCar_Bam_SideA.jpg)|Gantry/Carriage/Bambu|Accent|No|No|&gt;= PLA|</v>
      </c>
    </row>
    <row r="14" spans="1:12" x14ac:dyDescent="0.25">
      <c r="A14" t="s">
        <v>44</v>
      </c>
      <c r="B14" t="str">
        <f t="shared" si="3"/>
        <v>[i]_BBProV26fl_X-Carraige.stl</v>
      </c>
      <c r="C14" t="str">
        <f t="shared" si="4"/>
        <v>Gantry/X</v>
      </c>
      <c r="D14" t="str">
        <f t="shared" si="5"/>
        <v>[[i]_BBProV26fl_X-Carraige](../STLs/Gantry/X/[i]_BBProV26fl_X-Carraige.stl)</v>
      </c>
      <c r="E14" t="str">
        <f t="shared" si="6"/>
        <v>![[i]_BBProV26fl_X-Carraige](./images/printed_parts/Gantry/X/[i]_BBProV26fl_X-Carraige.jpg)</v>
      </c>
      <c r="F14" t="str">
        <f t="shared" si="7"/>
        <v>Gantry/X</v>
      </c>
      <c r="G14" t="str">
        <f t="shared" si="8"/>
        <v>Main</v>
      </c>
      <c r="H14" t="str">
        <f t="shared" si="2"/>
        <v>No</v>
      </c>
      <c r="I14" t="str">
        <f t="shared" si="9"/>
        <v>Yes</v>
      </c>
      <c r="J14" t="s">
        <v>42</v>
      </c>
      <c r="L14" t="str">
        <f t="shared" si="1"/>
        <v>|[[i]_BBProV26fl_X-Carraige](../STLs/Gantry/X/[i]_BBProV26fl_X-Carraige.stl)|![[i]_BBProV26fl_X-Carraige](./images/printed_parts/Gantry/X/[i]_BBProV26fl_X-Carraige.jpg)|Gantry/X|Main|No|Yes|&gt;= PLA|</v>
      </c>
    </row>
    <row r="15" spans="1:12" x14ac:dyDescent="0.25">
      <c r="A15" t="s">
        <v>36</v>
      </c>
      <c r="B15" t="str">
        <f t="shared" si="3"/>
        <v>BBProV26fl_X-CarraigeMotorMount.stl</v>
      </c>
      <c r="C15" t="str">
        <f t="shared" si="4"/>
        <v>Gantry/X</v>
      </c>
      <c r="D15" t="str">
        <f t="shared" si="5"/>
        <v>[BBProV26fl_X-CarraigeMotorMount](../STLs/Gantry/X/BBProV26fl_X-CarraigeMotorMount.stl)</v>
      </c>
      <c r="E15" t="str">
        <f t="shared" si="6"/>
        <v>![BBProV26fl_X-CarraigeMotorMount](./images/printed_parts/Gantry/X/BBProV26fl_X-CarraigeMotorMount.jpg)</v>
      </c>
      <c r="F15" t="str">
        <f t="shared" si="7"/>
        <v>Gantry/X</v>
      </c>
      <c r="G15" t="str">
        <f t="shared" si="8"/>
        <v>Main</v>
      </c>
      <c r="H15" t="str">
        <f t="shared" si="2"/>
        <v>No</v>
      </c>
      <c r="I15" t="str">
        <f t="shared" si="9"/>
        <v>No</v>
      </c>
      <c r="J15" t="s">
        <v>42</v>
      </c>
      <c r="L15" t="str">
        <f t="shared" si="1"/>
        <v>|[BBProV26fl_X-CarraigeMotorMount](../STLs/Gantry/X/BBProV26fl_X-CarraigeMotorMount.stl)|![BBProV26fl_X-CarraigeMotorMount](./images/printed_parts/Gantry/X/BBProV26fl_X-CarraigeMotorMount.jpg)|Gantry/X|Main|No|No|&gt;= PLA|</v>
      </c>
    </row>
    <row r="16" spans="1:12" x14ac:dyDescent="0.25">
      <c r="A16" t="s">
        <v>16</v>
      </c>
      <c r="B16" t="str">
        <f t="shared" si="3"/>
        <v>[a]_BBProV25fl_pivotArm(2x).stl</v>
      </c>
      <c r="C16" t="str">
        <f t="shared" si="4"/>
        <v>Gantry/X</v>
      </c>
      <c r="D16" t="str">
        <f t="shared" si="5"/>
        <v>[[a]_BBProV25fl_pivotArm(2x)](../STLs/Gantry/X/[a]_BBProV25fl_pivotArm(2x).stl)</v>
      </c>
      <c r="E16" t="str">
        <f t="shared" si="6"/>
        <v>![[a]_BBProV25fl_pivotArm(2x)](./images/printed_parts/Gantry/X/[a]_BBProV25fl_pivotArm(2x).jpg)</v>
      </c>
      <c r="F16" t="str">
        <f t="shared" si="7"/>
        <v>Gantry/X</v>
      </c>
      <c r="G16" t="str">
        <f t="shared" si="8"/>
        <v>Accent</v>
      </c>
      <c r="H16" t="str">
        <f t="shared" si="2"/>
        <v>No</v>
      </c>
      <c r="I16" t="str">
        <f t="shared" si="9"/>
        <v>No</v>
      </c>
      <c r="J16" t="s">
        <v>42</v>
      </c>
      <c r="L16" t="str">
        <f t="shared" si="1"/>
        <v>|[[a]_BBProV25fl_pivotArm(2x)](../STLs/Gantry/X/[a]_BBProV25fl_pivotArm(2x).stl)|![[a]_BBProV25fl_pivotArm(2x)](./images/printed_parts/Gantry/X/[a]_BBProV25fl_pivotArm(2x).jpg)|Gantry/X|Accent|No|No|&gt;= PLA|</v>
      </c>
    </row>
    <row r="17" spans="1:12" x14ac:dyDescent="0.25">
      <c r="A17" t="s">
        <v>17</v>
      </c>
      <c r="B17" t="str">
        <f t="shared" si="3"/>
        <v>[a]_BBProV25fl_XPivotClamp(2x).stl</v>
      </c>
      <c r="C17" t="str">
        <f t="shared" si="4"/>
        <v>Gantry/X</v>
      </c>
      <c r="D17" t="str">
        <f t="shared" si="5"/>
        <v>[[a]_BBProV25fl_XPivotClamp(2x)](../STLs/Gantry/X/[a]_BBProV25fl_XPivotClamp(2x).stl)</v>
      </c>
      <c r="E17" t="str">
        <f t="shared" si="6"/>
        <v>![[a]_BBProV25fl_XPivotClamp(2x)](./images/printed_parts/Gantry/X/[a]_BBProV25fl_XPivotClamp(2x).jpg)</v>
      </c>
      <c r="F17" t="str">
        <f t="shared" si="7"/>
        <v>Gantry/X</v>
      </c>
      <c r="G17" t="str">
        <f t="shared" si="8"/>
        <v>Accent</v>
      </c>
      <c r="H17" t="str">
        <f t="shared" si="2"/>
        <v>No</v>
      </c>
      <c r="I17" t="str">
        <f t="shared" si="9"/>
        <v>No</v>
      </c>
      <c r="J17" t="s">
        <v>42</v>
      </c>
      <c r="L17" t="str">
        <f t="shared" si="1"/>
        <v>|[[a]_BBProV25fl_XPivotClamp(2x)](../STLs/Gantry/X/[a]_BBProV25fl_XPivotClamp(2x).stl)|![[a]_BBProV25fl_XPivotClamp(2x)](./images/printed_parts/Gantry/X/[a]_BBProV25fl_XPivotClamp(2x).jpg)|Gantry/X|Accent|No|No|&gt;= PLA|</v>
      </c>
    </row>
    <row r="18" spans="1:12" x14ac:dyDescent="0.25">
      <c r="A18" t="s">
        <v>37</v>
      </c>
      <c r="B18" t="str">
        <f t="shared" si="3"/>
        <v>[a]_BBProV26fl_XrailMount-SideA.stl</v>
      </c>
      <c r="C18" t="str">
        <f t="shared" si="4"/>
        <v>Gantry/X</v>
      </c>
      <c r="D18" t="str">
        <f t="shared" si="5"/>
        <v>[[a]_BBProV26fl_XrailMount-SideA](../STLs/Gantry/X/[a]_BBProV26fl_XrailMount-SideA.stl)</v>
      </c>
      <c r="E18" t="str">
        <f t="shared" si="6"/>
        <v>![[a]_BBProV26fl_XrailMount-SideA](./images/printed_parts/Gantry/X/[a]_BBProV26fl_XrailMount-SideA.jpg)</v>
      </c>
      <c r="F18" t="str">
        <f t="shared" si="7"/>
        <v>Gantry/X</v>
      </c>
      <c r="G18" t="str">
        <f t="shared" si="8"/>
        <v>Accent</v>
      </c>
      <c r="H18" t="str">
        <f t="shared" si="2"/>
        <v>No</v>
      </c>
      <c r="I18" t="str">
        <f t="shared" si="9"/>
        <v>No</v>
      </c>
      <c r="J18" t="s">
        <v>42</v>
      </c>
      <c r="L18" t="str">
        <f t="shared" si="1"/>
        <v>|[[a]_BBProV26fl_XrailMount-SideA](../STLs/Gantry/X/[a]_BBProV26fl_XrailMount-SideA.stl)|![[a]_BBProV26fl_XrailMount-SideA](./images/printed_parts/Gantry/X/[a]_BBProV26fl_XrailMount-SideA.jpg)|Gantry/X|Accent|No|No|&gt;= PLA|</v>
      </c>
    </row>
    <row r="19" spans="1:12" x14ac:dyDescent="0.25">
      <c r="A19" t="s">
        <v>38</v>
      </c>
      <c r="B19" t="str">
        <f t="shared" si="3"/>
        <v>[a]_BBProV26fl_XrailMount-SideB.stl</v>
      </c>
      <c r="C19" t="str">
        <f t="shared" si="4"/>
        <v>Gantry/X</v>
      </c>
      <c r="D19" t="str">
        <f t="shared" si="5"/>
        <v>[[a]_BBProV26fl_XrailMount-SideB](../STLs/Gantry/X/[a]_BBProV26fl_XrailMount-SideB.stl)</v>
      </c>
      <c r="E19" t="str">
        <f t="shared" si="6"/>
        <v>![[a]_BBProV26fl_XrailMount-SideB](./images/printed_parts/Gantry/X/[a]_BBProV26fl_XrailMount-SideB.jpg)</v>
      </c>
      <c r="F19" t="str">
        <f t="shared" si="7"/>
        <v>Gantry/X</v>
      </c>
      <c r="G19" t="str">
        <f t="shared" si="8"/>
        <v>Accent</v>
      </c>
      <c r="H19" t="str">
        <f t="shared" si="2"/>
        <v>No</v>
      </c>
      <c r="I19" t="str">
        <f t="shared" si="9"/>
        <v>No</v>
      </c>
      <c r="J19" t="s">
        <v>42</v>
      </c>
      <c r="L19" t="str">
        <f t="shared" si="1"/>
        <v>|[[a]_BBProV26fl_XrailMount-SideB](../STLs/Gantry/X/[a]_BBProV26fl_XrailMount-SideB.stl)|![[a]_BBProV26fl_XrailMount-SideB](./images/printed_parts/Gantry/X/[a]_BBProV26fl_XrailMount-SideB.jpg)|Gantry/X|Accent|No|No|&gt;= PLA|</v>
      </c>
    </row>
    <row r="20" spans="1:12" x14ac:dyDescent="0.25">
      <c r="A20" t="s">
        <v>46</v>
      </c>
      <c r="B20" t="str">
        <f t="shared" si="3"/>
        <v>[ai]_BBProV26fl_XrailMountUnder-SideA.stl</v>
      </c>
      <c r="C20" t="str">
        <f t="shared" si="4"/>
        <v>Gantry/X</v>
      </c>
      <c r="D20" t="str">
        <f t="shared" si="5"/>
        <v>[[ai]_BBProV26fl_XrailMountUnder-SideA](../STLs/Gantry/X/[ai]_BBProV26fl_XrailMountUnder-SideA.stl)</v>
      </c>
      <c r="E20" t="str">
        <f t="shared" si="6"/>
        <v>![[ai]_BBProV26fl_XrailMountUnder-SideA](./images/printed_parts/Gantry/X/[ai]_BBProV26fl_XrailMountUnder-SideA.jpg)</v>
      </c>
      <c r="F20" t="str">
        <f t="shared" si="7"/>
        <v>Gantry/X</v>
      </c>
      <c r="G20" t="str">
        <f t="shared" si="8"/>
        <v>Accent</v>
      </c>
      <c r="H20" t="str">
        <f t="shared" si="2"/>
        <v>No</v>
      </c>
      <c r="I20" t="str">
        <f t="shared" si="9"/>
        <v>Yes</v>
      </c>
      <c r="J20" t="s">
        <v>42</v>
      </c>
      <c r="L20" t="str">
        <f t="shared" si="1"/>
        <v>|[[ai]_BBProV26fl_XrailMountUnder-SideA](../STLs/Gantry/X/[ai]_BBProV26fl_XrailMountUnder-SideA.stl)|![[ai]_BBProV26fl_XrailMountUnder-SideA](./images/printed_parts/Gantry/X/[ai]_BBProV26fl_XrailMountUnder-SideA.jpg)|Gantry/X|Accent|No|Yes|&gt;= PLA|</v>
      </c>
    </row>
    <row r="21" spans="1:12" x14ac:dyDescent="0.25">
      <c r="A21" t="s">
        <v>47</v>
      </c>
      <c r="B21" t="str">
        <f t="shared" si="3"/>
        <v>[ai]_BBProV26fl_XrailMountUnder-SideB.stl</v>
      </c>
      <c r="C21" t="str">
        <f t="shared" si="4"/>
        <v>Gantry/X</v>
      </c>
      <c r="D21" t="str">
        <f t="shared" si="5"/>
        <v>[[ai]_BBProV26fl_XrailMountUnder-SideB](../STLs/Gantry/X/[ai]_BBProV26fl_XrailMountUnder-SideB.stl)</v>
      </c>
      <c r="E21" t="str">
        <f t="shared" si="6"/>
        <v>![[ai]_BBProV26fl_XrailMountUnder-SideB](./images/printed_parts/Gantry/X/[ai]_BBProV26fl_XrailMountUnder-SideB.jpg)</v>
      </c>
      <c r="F21" t="str">
        <f t="shared" si="7"/>
        <v>Gantry/X</v>
      </c>
      <c r="G21" t="str">
        <f t="shared" si="8"/>
        <v>Accent</v>
      </c>
      <c r="H21" t="str">
        <f t="shared" si="2"/>
        <v>No</v>
      </c>
      <c r="I21" t="str">
        <f t="shared" si="9"/>
        <v>Yes</v>
      </c>
      <c r="J21" t="s">
        <v>42</v>
      </c>
      <c r="L21" t="str">
        <f t="shared" si="1"/>
        <v>|[[ai]_BBProV26fl_XrailMountUnder-SideB](../STLs/Gantry/X/[ai]_BBProV26fl_XrailMountUnder-SideB.stl)|![[ai]_BBProV26fl_XrailMountUnder-SideB](./images/printed_parts/Gantry/X/[ai]_BBProV26fl_XrailMountUnder-SideB.jpg)|Gantry/X|Accent|No|Yes|&gt;= PLA|</v>
      </c>
    </row>
    <row r="22" spans="1:12" x14ac:dyDescent="0.25">
      <c r="A22" t="s">
        <v>18</v>
      </c>
      <c r="B22" t="str">
        <f t="shared" si="3"/>
        <v>BBProV25fl_LinearRailReplacement.stl</v>
      </c>
      <c r="C22" t="str">
        <f t="shared" si="4"/>
        <v>Gantry/Y</v>
      </c>
      <c r="D22" t="str">
        <f t="shared" si="5"/>
        <v>[BBProV25fl_LinearRailReplacement](../STLs/Gantry/Y/BBProV25fl_LinearRailReplacement.stl)</v>
      </c>
      <c r="E22" t="str">
        <f t="shared" si="6"/>
        <v>![BBProV25fl_LinearRailReplacement](./images/printed_parts/Gantry/Y/BBProV25fl_LinearRailReplacement.jpg)</v>
      </c>
      <c r="F22" t="str">
        <f t="shared" si="7"/>
        <v>Gantry/Y</v>
      </c>
      <c r="G22" t="str">
        <f t="shared" si="8"/>
        <v>Main</v>
      </c>
      <c r="H22" t="str">
        <f t="shared" si="2"/>
        <v>No</v>
      </c>
      <c r="I22" t="str">
        <f t="shared" si="9"/>
        <v>No</v>
      </c>
      <c r="J22" t="s">
        <v>42</v>
      </c>
      <c r="L22" t="str">
        <f t="shared" si="1"/>
        <v>|[BBProV25fl_LinearRailReplacement](../STLs/Gantry/Y/BBProV25fl_LinearRailReplacement.stl)|![BBProV25fl_LinearRailReplacement](./images/printed_parts/Gantry/Y/BBProV25fl_LinearRailReplacement.jpg)|Gantry/Y|Main|No|No|&gt;= PLA|</v>
      </c>
    </row>
    <row r="23" spans="1:12" x14ac:dyDescent="0.25">
      <c r="A23" t="s">
        <v>19</v>
      </c>
      <c r="B23" t="str">
        <f t="shared" si="3"/>
        <v>BBProV25fl_RockMonsterNo1YTentionerNut.stl</v>
      </c>
      <c r="C23" t="str">
        <f t="shared" si="4"/>
        <v>Gantry/Y</v>
      </c>
      <c r="D23" t="str">
        <f t="shared" si="5"/>
        <v>[BBProV25fl_RockMonsterNo1YTentionerNut](../STLs/Gantry/Y/BBProV25fl_RockMonsterNo1YTentionerNut.stl)</v>
      </c>
      <c r="E23" t="str">
        <f t="shared" si="6"/>
        <v>![BBProV25fl_RockMonsterNo1YTentionerNut](./images/printed_parts/Gantry/Y/BBProV25fl_RockMonsterNo1YTentionerNut.jpg)</v>
      </c>
      <c r="F23" t="str">
        <f t="shared" si="7"/>
        <v>Gantry/Y</v>
      </c>
      <c r="G23" t="str">
        <f t="shared" si="8"/>
        <v>Main</v>
      </c>
      <c r="H23" t="str">
        <f t="shared" si="2"/>
        <v>No</v>
      </c>
      <c r="I23" t="str">
        <f t="shared" si="9"/>
        <v>No</v>
      </c>
      <c r="J23" t="s">
        <v>42</v>
      </c>
      <c r="L23" t="str">
        <f t="shared" si="1"/>
        <v>|[BBProV25fl_RockMonsterNo1YTentionerNut](../STLs/Gantry/Y/BBProV25fl_RockMonsterNo1YTentionerNut.stl)|![BBProV25fl_RockMonsterNo1YTentionerNut](./images/printed_parts/Gantry/Y/BBProV25fl_RockMonsterNo1YTentionerNut.jpg)|Gantry/Y|Main|No|No|&gt;= PLA|</v>
      </c>
    </row>
    <row r="24" spans="1:12" x14ac:dyDescent="0.25">
      <c r="A24" t="s">
        <v>39</v>
      </c>
      <c r="B24" t="str">
        <f t="shared" si="3"/>
        <v>BBProV26fl_LinearRailReplacement.stl</v>
      </c>
      <c r="C24" t="str">
        <f t="shared" si="4"/>
        <v>Gantry/Y</v>
      </c>
      <c r="D24" t="str">
        <f t="shared" si="5"/>
        <v>[BBProV26fl_LinearRailReplacement](../STLs/Gantry/Y/BBProV26fl_LinearRailReplacement.stl)</v>
      </c>
      <c r="E24" t="str">
        <f t="shared" si="6"/>
        <v>![BBProV26fl_LinearRailReplacement](./images/printed_parts/Gantry/Y/BBProV26fl_LinearRailReplacement.jpg)</v>
      </c>
      <c r="F24" t="str">
        <f t="shared" si="7"/>
        <v>Gantry/Y</v>
      </c>
      <c r="G24" t="str">
        <f t="shared" si="8"/>
        <v>Main</v>
      </c>
      <c r="H24" t="str">
        <f t="shared" si="2"/>
        <v>No</v>
      </c>
      <c r="I24" t="str">
        <f t="shared" si="9"/>
        <v>No</v>
      </c>
      <c r="J24" t="s">
        <v>42</v>
      </c>
      <c r="L24" t="str">
        <f t="shared" si="1"/>
        <v>|[BBProV26fl_LinearRailReplacement](../STLs/Gantry/Y/BBProV26fl_LinearRailReplacement.stl)|![BBProV26fl_LinearRailReplacement](./images/printed_parts/Gantry/Y/BBProV26fl_LinearRailReplacement.jpg)|Gantry/Y|Main|No|No|&gt;= PLA|</v>
      </c>
    </row>
    <row r="25" spans="1:12" x14ac:dyDescent="0.25">
      <c r="A25" t="s">
        <v>20</v>
      </c>
      <c r="B25" t="str">
        <f t="shared" si="3"/>
        <v>LDO Kit - Toolboard Mount v1.stl</v>
      </c>
      <c r="C25" t="str">
        <f t="shared" si="4"/>
        <v>Gantry/Y</v>
      </c>
      <c r="D25" t="str">
        <f t="shared" si="5"/>
        <v>[LDO Kit - Toolboard Mount v1](../STLs/Gantry/Y/LDO%20Kit%20-%20Toolboard%20Mount%20v1.stl)</v>
      </c>
      <c r="E25" t="str">
        <f t="shared" si="6"/>
        <v>![LDO Kit - Toolboard Mount v1](./images/printed_parts/Gantry/Y/LDO%20Kit%20-%20Toolboard%20Mount%20v1.jpg)</v>
      </c>
      <c r="F25" t="str">
        <f t="shared" si="7"/>
        <v>Gantry/Y</v>
      </c>
      <c r="G25" t="str">
        <f t="shared" si="8"/>
        <v>Main</v>
      </c>
      <c r="H25" t="str">
        <f t="shared" si="2"/>
        <v>No</v>
      </c>
      <c r="I25" t="str">
        <f t="shared" si="9"/>
        <v>No</v>
      </c>
      <c r="J25" t="s">
        <v>42</v>
      </c>
      <c r="L25" t="str">
        <f t="shared" si="1"/>
        <v>|[LDO Kit - Toolboard Mount v1](../STLs/Gantry/Y/LDO%20Kit%20-%20Toolboard%20Mount%20v1.stl)|![LDO Kit - Toolboard Mount v1](./images/printed_parts/Gantry/Y/LDO%20Kit%20-%20Toolboard%20Mount%20v1.jpg)|Gantry/Y|Main|No|No|&gt;= PLA|</v>
      </c>
    </row>
    <row r="26" spans="1:12" x14ac:dyDescent="0.25">
      <c r="A26" t="s">
        <v>21</v>
      </c>
      <c r="B26" t="str">
        <f t="shared" si="3"/>
        <v>[a]_BBProV25fl_RockMonsterNo1YTentionerIdlerHolder.stl</v>
      </c>
      <c r="C26" t="str">
        <f t="shared" si="4"/>
        <v>Gantry/Y</v>
      </c>
      <c r="D26" t="str">
        <f t="shared" si="5"/>
        <v>[[a]_BBProV25fl_RockMonsterNo1YTentionerIdlerHolder](../STLs/Gantry/Y/[a]_BBProV25fl_RockMonsterNo1YTentionerIdlerHolder.stl)</v>
      </c>
      <c r="E26" t="str">
        <f t="shared" si="6"/>
        <v>![[a]_BBProV25fl_RockMonsterNo1YTentionerIdlerHolder](./images/printed_parts/Gantry/Y/[a]_BBProV25fl_RockMonsterNo1YTentionerIdlerHolder.jpg)</v>
      </c>
      <c r="F26" t="str">
        <f t="shared" si="7"/>
        <v>Gantry/Y</v>
      </c>
      <c r="G26" t="str">
        <f t="shared" si="8"/>
        <v>Accent</v>
      </c>
      <c r="H26" t="str">
        <f t="shared" si="2"/>
        <v>No</v>
      </c>
      <c r="I26" t="str">
        <f t="shared" si="9"/>
        <v>No</v>
      </c>
      <c r="J26" t="s">
        <v>42</v>
      </c>
      <c r="L26" t="str">
        <f t="shared" si="1"/>
        <v>|[[a]_BBProV25fl_RockMonsterNo1YTentionerIdlerHolder](../STLs/Gantry/Y/[a]_BBProV25fl_RockMonsterNo1YTentionerIdlerHolder.stl)|![[a]_BBProV25fl_RockMonsterNo1YTentionerIdlerHolder](./images/printed_parts/Gantry/Y/[a]_BBProV25fl_RockMonsterNo1YTentionerIdlerHolder.jpg)|Gantry/Y|Accent|No|No|&gt;= PLA|</v>
      </c>
    </row>
    <row r="27" spans="1:12" x14ac:dyDescent="0.25">
      <c r="A27" t="s">
        <v>40</v>
      </c>
      <c r="B27" t="str">
        <f t="shared" si="3"/>
        <v>[a]_BBProV26fl_RockMonsterNo1YTentionerBody.stl</v>
      </c>
      <c r="C27" t="str">
        <f t="shared" si="4"/>
        <v>Gantry/Y</v>
      </c>
      <c r="D27" t="str">
        <f t="shared" si="5"/>
        <v>[[a]_BBProV26fl_RockMonsterNo1YTentionerBody](../STLs/Gantry/Y/[a]_BBProV26fl_RockMonsterNo1YTentionerBody.stl)</v>
      </c>
      <c r="E27" t="str">
        <f t="shared" si="6"/>
        <v>![[a]_BBProV26fl_RockMonsterNo1YTentionerBody](./images/printed_parts/Gantry/Y/[a]_BBProV26fl_RockMonsterNo1YTentionerBody.jpg)</v>
      </c>
      <c r="F27" t="str">
        <f t="shared" si="7"/>
        <v>Gantry/Y</v>
      </c>
      <c r="G27" t="str">
        <f t="shared" si="8"/>
        <v>Accent</v>
      </c>
      <c r="H27" t="str">
        <f t="shared" si="2"/>
        <v>No</v>
      </c>
      <c r="I27" t="str">
        <f t="shared" si="9"/>
        <v>No</v>
      </c>
      <c r="J27" t="s">
        <v>42</v>
      </c>
      <c r="L27" t="str">
        <f t="shared" si="1"/>
        <v>|[[a]_BBProV26fl_RockMonsterNo1YTentionerBody](../STLs/Gantry/Y/[a]_BBProV26fl_RockMonsterNo1YTentionerBody.stl)|![[a]_BBProV26fl_RockMonsterNo1YTentionerBody](./images/printed_parts/Gantry/Y/[a]_BBProV26fl_RockMonsterNo1YTentionerBody.jpg)|Gantry/Y|Accent|No|No|&gt;= PLA|</v>
      </c>
    </row>
    <row r="28" spans="1:12" x14ac:dyDescent="0.25">
      <c r="A28" t="s">
        <v>22</v>
      </c>
      <c r="B28" t="str">
        <f t="shared" si="3"/>
        <v>[a]_BBProV25fl_PrintBelt-Frame-A.stl</v>
      </c>
      <c r="C28" t="str">
        <f t="shared" si="4"/>
        <v>PrintBelt</v>
      </c>
      <c r="D28" t="str">
        <f t="shared" si="5"/>
        <v>[[a]_BBProV25fl_PrintBelt-Frame-A](../STLs/PrintBelt/[a]_BBProV25fl_PrintBelt-Frame-A.stl)</v>
      </c>
      <c r="E28" t="str">
        <f t="shared" si="6"/>
        <v>![[a]_BBProV25fl_PrintBelt-Frame-A](./images/printed_parts/PrintBelt/[a]_BBProV25fl_PrintBelt-Frame-A.jpg)</v>
      </c>
      <c r="F28" t="str">
        <f t="shared" si="7"/>
        <v>PrintBelt</v>
      </c>
      <c r="G28" t="str">
        <f t="shared" si="8"/>
        <v>Accent</v>
      </c>
      <c r="H28" t="str">
        <f t="shared" si="2"/>
        <v>No</v>
      </c>
      <c r="I28" t="str">
        <f t="shared" si="9"/>
        <v>No</v>
      </c>
      <c r="J28" t="s">
        <v>42</v>
      </c>
      <c r="L28" t="str">
        <f t="shared" si="1"/>
        <v>|[[a]_BBProV25fl_PrintBelt-Frame-A](../STLs/PrintBelt/[a]_BBProV25fl_PrintBelt-Frame-A.stl)|![[a]_BBProV25fl_PrintBelt-Frame-A](./images/printed_parts/PrintBelt/[a]_BBProV25fl_PrintBelt-Frame-A.jpg)|PrintBelt|Accent|No|No|&gt;= PLA|</v>
      </c>
    </row>
    <row r="29" spans="1:12" x14ac:dyDescent="0.25">
      <c r="A29" t="s">
        <v>23</v>
      </c>
      <c r="B29" t="str">
        <f t="shared" si="3"/>
        <v>[a]_BBProV25fl_PrintBelt-Frame-B.stl</v>
      </c>
      <c r="C29" t="str">
        <f t="shared" si="4"/>
        <v>PrintBelt</v>
      </c>
      <c r="D29" t="str">
        <f t="shared" si="5"/>
        <v>[[a]_BBProV25fl_PrintBelt-Frame-B](../STLs/PrintBelt/[a]_BBProV25fl_PrintBelt-Frame-B.stl)</v>
      </c>
      <c r="E29" t="str">
        <f t="shared" si="6"/>
        <v>![[a]_BBProV25fl_PrintBelt-Frame-B](./images/printed_parts/PrintBelt/[a]_BBProV25fl_PrintBelt-Frame-B.jpg)</v>
      </c>
      <c r="F29" t="str">
        <f t="shared" si="7"/>
        <v>PrintBelt</v>
      </c>
      <c r="G29" t="str">
        <f t="shared" si="8"/>
        <v>Accent</v>
      </c>
      <c r="H29" t="str">
        <f t="shared" si="2"/>
        <v>No</v>
      </c>
      <c r="I29" t="str">
        <f t="shared" si="9"/>
        <v>No</v>
      </c>
      <c r="J29" t="s">
        <v>42</v>
      </c>
      <c r="L29" t="str">
        <f t="shared" si="1"/>
        <v>|[[a]_BBProV25fl_PrintBelt-Frame-B](../STLs/PrintBelt/[a]_BBProV25fl_PrintBelt-Frame-B.stl)|![[a]_BBProV25fl_PrintBelt-Frame-B](./images/printed_parts/PrintBelt/[a]_BBProV25fl_PrintBelt-Frame-B.jpg)|PrintBelt|Accent|No|No|&gt;= PLA|</v>
      </c>
    </row>
    <row r="30" spans="1:12" x14ac:dyDescent="0.25">
      <c r="A30" t="s">
        <v>24</v>
      </c>
      <c r="B30" t="str">
        <f t="shared" si="3"/>
        <v>[a]_BBProV25fl_PrintBelt-Nut(2x).stl</v>
      </c>
      <c r="C30" t="str">
        <f t="shared" si="4"/>
        <v>PrintBelt</v>
      </c>
      <c r="D30" t="str">
        <f t="shared" si="5"/>
        <v>[[a]_BBProV25fl_PrintBelt-Nut(2x)](../STLs/PrintBelt/[a]_BBProV25fl_PrintBelt-Nut(2x).stl)</v>
      </c>
      <c r="E30" t="str">
        <f t="shared" si="6"/>
        <v>![[a]_BBProV25fl_PrintBelt-Nut(2x)](./images/printed_parts/PrintBelt/[a]_BBProV25fl_PrintBelt-Nut(2x).jpg)</v>
      </c>
      <c r="F30" t="str">
        <f t="shared" si="7"/>
        <v>PrintBelt</v>
      </c>
      <c r="G30" t="str">
        <f t="shared" si="8"/>
        <v>Accent</v>
      </c>
      <c r="H30" t="str">
        <f t="shared" si="2"/>
        <v>No</v>
      </c>
      <c r="I30" t="str">
        <f t="shared" si="9"/>
        <v>No</v>
      </c>
      <c r="J30" t="s">
        <v>42</v>
      </c>
      <c r="L30" t="str">
        <f t="shared" si="1"/>
        <v>|[[a]_BBProV25fl_PrintBelt-Nut(2x)](../STLs/PrintBelt/[a]_BBProV25fl_PrintBelt-Nut(2x).stl)|![[a]_BBProV25fl_PrintBelt-Nut(2x)](./images/printed_parts/PrintBelt/[a]_BBProV25fl_PrintBelt-Nut(2x).jpg)|PrintBelt|Accent|No|No|&gt;= PLA|</v>
      </c>
    </row>
    <row r="31" spans="1:12" x14ac:dyDescent="0.25">
      <c r="A31" t="s">
        <v>25</v>
      </c>
      <c r="B31" t="str">
        <f t="shared" si="3"/>
        <v>[a]_BBProV25fl_PrintBelt-Pusher-A.stl</v>
      </c>
      <c r="C31" t="str">
        <f t="shared" si="4"/>
        <v>PrintBelt</v>
      </c>
      <c r="D31" t="str">
        <f t="shared" si="5"/>
        <v>[[a]_BBProV25fl_PrintBelt-Pusher-A](../STLs/PrintBelt/[a]_BBProV25fl_PrintBelt-Pusher-A.stl)</v>
      </c>
      <c r="E31" t="str">
        <f t="shared" si="6"/>
        <v>![[a]_BBProV25fl_PrintBelt-Pusher-A](./images/printed_parts/PrintBelt/[a]_BBProV25fl_PrintBelt-Pusher-A.jpg)</v>
      </c>
      <c r="F31" t="str">
        <f t="shared" si="7"/>
        <v>PrintBelt</v>
      </c>
      <c r="G31" t="str">
        <f t="shared" si="8"/>
        <v>Accent</v>
      </c>
      <c r="H31" t="str">
        <f t="shared" si="2"/>
        <v>No</v>
      </c>
      <c r="I31" t="str">
        <f t="shared" si="9"/>
        <v>No</v>
      </c>
      <c r="J31" t="s">
        <v>42</v>
      </c>
      <c r="L31" t="str">
        <f t="shared" si="1"/>
        <v>|[[a]_BBProV25fl_PrintBelt-Pusher-A](../STLs/PrintBelt/[a]_BBProV25fl_PrintBelt-Pusher-A.stl)|![[a]_BBProV25fl_PrintBelt-Pusher-A](./images/printed_parts/PrintBelt/[a]_BBProV25fl_PrintBelt-Pusher-A.jpg)|PrintBelt|Accent|No|No|&gt;= PLA|</v>
      </c>
    </row>
    <row r="32" spans="1:12" x14ac:dyDescent="0.25">
      <c r="A32" t="s">
        <v>26</v>
      </c>
      <c r="B32" t="str">
        <f t="shared" si="3"/>
        <v>[a]_BBProV25fl_PrintBelt-Pusher-B.stl</v>
      </c>
      <c r="C32" t="str">
        <f t="shared" si="4"/>
        <v>PrintBelt</v>
      </c>
      <c r="D32" t="str">
        <f t="shared" si="5"/>
        <v>[[a]_BBProV25fl_PrintBelt-Pusher-B](../STLs/PrintBelt/[a]_BBProV25fl_PrintBelt-Pusher-B.stl)</v>
      </c>
      <c r="E32" t="str">
        <f t="shared" si="6"/>
        <v>![[a]_BBProV25fl_PrintBelt-Pusher-B](./images/printed_parts/PrintBelt/[a]_BBProV25fl_PrintBelt-Pusher-B.jpg)</v>
      </c>
      <c r="F32" t="str">
        <f t="shared" si="7"/>
        <v>PrintBelt</v>
      </c>
      <c r="G32" t="str">
        <f t="shared" si="8"/>
        <v>Accent</v>
      </c>
      <c r="H32" t="str">
        <f t="shared" si="2"/>
        <v>No</v>
      </c>
      <c r="I32" t="str">
        <f t="shared" si="9"/>
        <v>No</v>
      </c>
      <c r="J32" t="s">
        <v>42</v>
      </c>
      <c r="L32" t="str">
        <f t="shared" si="1"/>
        <v>|[[a]_BBProV25fl_PrintBelt-Pusher-B](../STLs/PrintBelt/[a]_BBProV25fl_PrintBelt-Pusher-B.stl)|![[a]_BBProV25fl_PrintBelt-Pusher-B](./images/printed_parts/PrintBelt/[a]_BBProV25fl_PrintBelt-Pusher-B.jpg)|PrintBelt|Accent|No|No|&gt;= PLA|</v>
      </c>
    </row>
    <row r="33" spans="1:12" x14ac:dyDescent="0.25">
      <c r="A33" t="s">
        <v>27</v>
      </c>
      <c r="B33" t="str">
        <f t="shared" si="3"/>
        <v>[a,s]_BBProV25fl_Roller[x2].stl</v>
      </c>
      <c r="C33" t="str">
        <f t="shared" si="4"/>
        <v>ZBeltDrive</v>
      </c>
      <c r="D33" t="str">
        <f t="shared" si="5"/>
        <v>[[a,s]_BBProV25fl_Roller[x2]](../STLs/ZBeltDrive/[a,s]_BBProV25fl_Roller[x2].stl)</v>
      </c>
      <c r="E33" t="str">
        <f t="shared" si="6"/>
        <v>![[a,s]_BBProV25fl_Roller[x2]](./images/printed_parts/ZBeltDrive/[a,s]_BBProV25fl_Roller[x2].jpg)</v>
      </c>
      <c r="F33" t="str">
        <f t="shared" si="7"/>
        <v>ZBeltDrive</v>
      </c>
      <c r="G33" t="str">
        <f t="shared" si="8"/>
        <v>Accent</v>
      </c>
      <c r="H33" t="str">
        <f t="shared" si="2"/>
        <v>Yes</v>
      </c>
      <c r="I33" t="str">
        <f t="shared" si="9"/>
        <v>No</v>
      </c>
      <c r="J33" t="s">
        <v>42</v>
      </c>
      <c r="L33" t="str">
        <f t="shared" si="1"/>
        <v>|[[a,s]_BBProV25fl_Roller[x2]](../STLs/ZBeltDrive/[a,s]_BBProV25fl_Roller[x2].stl)|![[a,s]_BBProV25fl_Roller[x2]](./images/printed_parts/ZBeltDrive/[a,s]_BBProV25fl_Roller[x2].jpg)|ZBeltDrive|Accent|Yes|No|&gt;= PLA|</v>
      </c>
    </row>
    <row r="34" spans="1:12" x14ac:dyDescent="0.25">
      <c r="A34" t="s">
        <v>28</v>
      </c>
      <c r="B34" t="str">
        <f t="shared" si="3"/>
        <v>[a]_BBProV25fl_Nema17_ZGear.stl</v>
      </c>
      <c r="C34" t="str">
        <f t="shared" si="4"/>
        <v>ZBeltDrive</v>
      </c>
      <c r="D34" t="str">
        <f t="shared" si="5"/>
        <v>[[a]_BBProV25fl_Nema17_ZGear](../STLs/ZBeltDrive/[a]_BBProV25fl_Nema17_ZGear.stl)</v>
      </c>
      <c r="E34" t="str">
        <f t="shared" si="6"/>
        <v>![[a]_BBProV25fl_Nema17_ZGear](./images/printed_parts/ZBeltDrive/[a]_BBProV25fl_Nema17_ZGear.jpg)</v>
      </c>
      <c r="F34" t="str">
        <f t="shared" si="7"/>
        <v>ZBeltDrive</v>
      </c>
      <c r="G34" t="str">
        <f t="shared" si="8"/>
        <v>Accent</v>
      </c>
      <c r="H34" t="str">
        <f t="shared" si="2"/>
        <v>No</v>
      </c>
      <c r="I34" t="str">
        <f t="shared" si="9"/>
        <v>No</v>
      </c>
      <c r="J34" t="s">
        <v>43</v>
      </c>
      <c r="L34" t="str">
        <f t="shared" si="1"/>
        <v>|[[a]_BBProV25fl_Nema17_ZGear](../STLs/ZBeltDrive/[a]_BBProV25fl_Nema17_ZGear.stl)|![[a]_BBProV25fl_Nema17_ZGear](./images/printed_parts/ZBeltDrive/[a]_BBProV25fl_Nema17_ZGear.jpg)|ZBeltDrive|Accent|No|No|&gt;= PETG|</v>
      </c>
    </row>
    <row r="35" spans="1:12" x14ac:dyDescent="0.25">
      <c r="A35" t="s">
        <v>29</v>
      </c>
      <c r="B35" t="str">
        <f t="shared" si="3"/>
        <v>[a]_BBProV25fl_Roller_ZGear.stl</v>
      </c>
      <c r="C35" t="str">
        <f t="shared" si="4"/>
        <v>ZBeltDrive</v>
      </c>
      <c r="D35" t="str">
        <f t="shared" si="5"/>
        <v>[[a]_BBProV25fl_Roller_ZGear](../STLs/ZBeltDrive/[a]_BBProV25fl_Roller_ZGear.stl)</v>
      </c>
      <c r="E35" t="str">
        <f t="shared" si="6"/>
        <v>![[a]_BBProV25fl_Roller_ZGear](./images/printed_parts/ZBeltDrive/[a]_BBProV25fl_Roller_ZGear.jpg)</v>
      </c>
      <c r="F35" t="str">
        <f t="shared" si="7"/>
        <v>ZBeltDrive</v>
      </c>
      <c r="G35" t="str">
        <f t="shared" si="8"/>
        <v>Accent</v>
      </c>
      <c r="H35" t="str">
        <f t="shared" si="2"/>
        <v>No</v>
      </c>
      <c r="I35" t="str">
        <f t="shared" si="9"/>
        <v>No</v>
      </c>
      <c r="J35" t="s">
        <v>43</v>
      </c>
      <c r="L35" t="str">
        <f t="shared" si="1"/>
        <v>|[[a]_BBProV25fl_Roller_ZGear](../STLs/ZBeltDrive/[a]_BBProV25fl_Roller_ZGear.stl)|![[a]_BBProV25fl_Roller_ZGear](./images/printed_parts/ZBeltDrive/[a]_BBProV25fl_Roller_ZGear.jpg)|ZBeltDrive|Accent|No|No|&gt;= PETG|</v>
      </c>
    </row>
    <row r="36" spans="1:12" x14ac:dyDescent="0.25">
      <c r="A36" t="s">
        <v>41</v>
      </c>
      <c r="B36" t="str">
        <f t="shared" si="3"/>
        <v>[HT]_BBProV25fl_Underbed-notforbed-FOR_LDO_HEATBED.stl</v>
      </c>
      <c r="C36" t="str">
        <f t="shared" si="4"/>
        <v>ZBeltDrive</v>
      </c>
      <c r="D36" t="str">
        <f t="shared" si="5"/>
        <v>[[HT]_BBProV25fl_Underbed-notforbed-FOR_LDO_HEATBED](../STLs/ZBeltDrive/[HT]_BBProV25fl_Underbed-notforbed-FOR_LDO_HEATBED.stl)</v>
      </c>
      <c r="E36" t="str">
        <f t="shared" si="6"/>
        <v>![[HT]_BBProV25fl_Underbed-notforbed-FOR_LDO_HEATBED](./images/printed_parts/ZBeltDrive/[HT]_BBProV25fl_Underbed-notforbed-FOR_LDO_HEATBED.jpg)</v>
      </c>
      <c r="F36" t="str">
        <f t="shared" si="7"/>
        <v>ZBeltDrive</v>
      </c>
      <c r="G36" t="str">
        <f t="shared" si="8"/>
        <v>Main</v>
      </c>
      <c r="H36" t="str">
        <f t="shared" si="2"/>
        <v>No</v>
      </c>
      <c r="I36" t="str">
        <f t="shared" si="9"/>
        <v>No</v>
      </c>
      <c r="J36" t="s">
        <v>43</v>
      </c>
      <c r="L36" t="str">
        <f t="shared" si="1"/>
        <v>|[[HT]_BBProV25fl_Underbed-notforbed-FOR_LDO_HEATBED](../STLs/ZBeltDrive/[HT]_BBProV25fl_Underbed-notforbed-FOR_LDO_HEATBED.stl)|![[HT]_BBProV25fl_Underbed-notforbed-FOR_LDO_HEATBED](./images/printed_parts/ZBeltDrive/[HT]_BBProV25fl_Underbed-notforbed-FOR_LDO_HEATBED.jpg)|ZBeltDrive|Main|No|No|&gt;= PETG|</v>
      </c>
    </row>
    <row r="37" spans="1:12" x14ac:dyDescent="0.25">
      <c r="A37" t="s">
        <v>30</v>
      </c>
      <c r="B37" t="str">
        <f t="shared" si="3"/>
        <v>[HT]_BBProV25fl_UnderbedOrBed.stl</v>
      </c>
      <c r="C37" t="str">
        <f t="shared" si="4"/>
        <v>ZBeltDrive</v>
      </c>
      <c r="D37" t="str">
        <f t="shared" si="5"/>
        <v>[[HT]_BBProV25fl_UnderbedOrBed](../STLs/ZBeltDrive/[HT]_BBProV25fl_UnderbedOrBed.stl)</v>
      </c>
      <c r="E37" t="str">
        <f t="shared" si="6"/>
        <v>![[HT]_BBProV25fl_UnderbedOrBed](./images/printed_parts/ZBeltDrive/[HT]_BBProV25fl_UnderbedOrBed.jpg)</v>
      </c>
      <c r="F37" t="str">
        <f t="shared" si="7"/>
        <v>ZBeltDrive</v>
      </c>
      <c r="G37" t="str">
        <f t="shared" si="8"/>
        <v>Main</v>
      </c>
      <c r="H37" t="str">
        <f t="shared" si="2"/>
        <v>No</v>
      </c>
      <c r="I37" t="str">
        <f t="shared" si="9"/>
        <v>No</v>
      </c>
      <c r="J37" t="s">
        <v>43</v>
      </c>
      <c r="L37" t="str">
        <f t="shared" si="1"/>
        <v>|[[HT]_BBProV25fl_UnderbedOrBed](../STLs/ZBeltDrive/[HT]_BBProV25fl_UnderbedOrBed.stl)|![[HT]_BBProV25fl_UnderbedOrBed](./images/printed_parts/ZBeltDrive/[HT]_BBProV25fl_UnderbedOrBed.jpg)|ZBeltDrive|Main|No|No|&gt;= PETG|</v>
      </c>
    </row>
  </sheetData>
  <autoFilter ref="A1:L29" xr:uid="{CC80A11F-D4A9-4A4B-AA84-1AE963FFD50F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56E13-C026-4130-A0C7-EBCEAF50CBC3}">
  <dimension ref="A1:A36"/>
  <sheetViews>
    <sheetView workbookViewId="0">
      <selection activeCell="A12" sqref="A12:XFD16"/>
    </sheetView>
  </sheetViews>
  <sheetFormatPr defaultRowHeight="15" x14ac:dyDescent="0.25"/>
  <sheetData>
    <row r="1" spans="1:1" x14ac:dyDescent="0.25">
      <c r="A1" t="s">
        <v>9</v>
      </c>
    </row>
    <row r="2" spans="1:1" x14ac:dyDescent="0.25">
      <c r="A2" t="s">
        <v>10</v>
      </c>
    </row>
    <row r="3" spans="1:1" x14ac:dyDescent="0.25">
      <c r="A3" t="s">
        <v>11</v>
      </c>
    </row>
    <row r="4" spans="1:1" x14ac:dyDescent="0.25">
      <c r="A4" t="s">
        <v>12</v>
      </c>
    </row>
    <row r="5" spans="1:1" x14ac:dyDescent="0.25">
      <c r="A5" t="s">
        <v>32</v>
      </c>
    </row>
    <row r="6" spans="1:1" x14ac:dyDescent="0.25">
      <c r="A6" t="s">
        <v>33</v>
      </c>
    </row>
    <row r="7" spans="1:1" x14ac:dyDescent="0.25">
      <c r="A7" t="s">
        <v>34</v>
      </c>
    </row>
    <row r="8" spans="1:1" x14ac:dyDescent="0.25">
      <c r="A8" t="s">
        <v>13</v>
      </c>
    </row>
    <row r="9" spans="1:1" x14ac:dyDescent="0.25">
      <c r="A9" t="s">
        <v>14</v>
      </c>
    </row>
    <row r="10" spans="1:1" x14ac:dyDescent="0.25">
      <c r="A10" t="s">
        <v>15</v>
      </c>
    </row>
    <row r="11" spans="1:1" x14ac:dyDescent="0.25">
      <c r="A11" t="s">
        <v>35</v>
      </c>
    </row>
    <row r="12" spans="1:1" x14ac:dyDescent="0.25">
      <c r="A12" t="s">
        <v>36</v>
      </c>
    </row>
    <row r="13" spans="1:1" x14ac:dyDescent="0.25">
      <c r="A13" t="s">
        <v>46</v>
      </c>
    </row>
    <row r="14" spans="1:1" x14ac:dyDescent="0.25">
      <c r="A14" t="s">
        <v>47</v>
      </c>
    </row>
    <row r="15" spans="1:1" x14ac:dyDescent="0.25">
      <c r="A15" t="s">
        <v>16</v>
      </c>
    </row>
    <row r="16" spans="1:1" x14ac:dyDescent="0.25">
      <c r="A16" t="s">
        <v>17</v>
      </c>
    </row>
    <row r="17" spans="1:1" x14ac:dyDescent="0.25">
      <c r="A17" t="s">
        <v>37</v>
      </c>
    </row>
    <row r="18" spans="1:1" x14ac:dyDescent="0.25">
      <c r="A18" t="s">
        <v>38</v>
      </c>
    </row>
    <row r="19" spans="1:1" x14ac:dyDescent="0.25">
      <c r="A19" t="s">
        <v>44</v>
      </c>
    </row>
    <row r="20" spans="1:1" x14ac:dyDescent="0.25">
      <c r="A20" t="s">
        <v>18</v>
      </c>
    </row>
    <row r="21" spans="1:1" x14ac:dyDescent="0.25">
      <c r="A21" t="s">
        <v>19</v>
      </c>
    </row>
    <row r="22" spans="1:1" x14ac:dyDescent="0.25">
      <c r="A22" t="s">
        <v>39</v>
      </c>
    </row>
    <row r="23" spans="1:1" x14ac:dyDescent="0.25">
      <c r="A23" t="s">
        <v>20</v>
      </c>
    </row>
    <row r="24" spans="1:1" x14ac:dyDescent="0.25">
      <c r="A24" t="s">
        <v>21</v>
      </c>
    </row>
    <row r="25" spans="1:1" x14ac:dyDescent="0.25">
      <c r="A25" t="s">
        <v>40</v>
      </c>
    </row>
    <row r="26" spans="1:1" x14ac:dyDescent="0.25">
      <c r="A26" t="s">
        <v>22</v>
      </c>
    </row>
    <row r="27" spans="1:1" x14ac:dyDescent="0.25">
      <c r="A27" t="s">
        <v>23</v>
      </c>
    </row>
    <row r="28" spans="1:1" x14ac:dyDescent="0.25">
      <c r="A28" t="s">
        <v>24</v>
      </c>
    </row>
    <row r="29" spans="1:1" x14ac:dyDescent="0.25">
      <c r="A29" t="s">
        <v>25</v>
      </c>
    </row>
    <row r="30" spans="1:1" x14ac:dyDescent="0.25">
      <c r="A30" t="s">
        <v>26</v>
      </c>
    </row>
    <row r="31" spans="1:1" x14ac:dyDescent="0.25">
      <c r="A31" t="s">
        <v>48</v>
      </c>
    </row>
    <row r="32" spans="1:1" x14ac:dyDescent="0.25">
      <c r="A32" t="s">
        <v>27</v>
      </c>
    </row>
    <row r="33" spans="1:1" x14ac:dyDescent="0.25">
      <c r="A33" t="s">
        <v>28</v>
      </c>
    </row>
    <row r="34" spans="1:1" x14ac:dyDescent="0.25">
      <c r="A34" t="s">
        <v>29</v>
      </c>
    </row>
    <row r="35" spans="1:1" x14ac:dyDescent="0.25">
      <c r="A35" t="s">
        <v>41</v>
      </c>
    </row>
    <row r="36" spans="1:1" x14ac:dyDescent="0.25">
      <c r="A36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Aaron Ellis</dc:creator>
  <cp:lastModifiedBy>Aaron Ellis</cp:lastModifiedBy>
  <dcterms:created xsi:type="dcterms:W3CDTF">2025-09-23T17:05:59Z</dcterms:created>
  <dcterms:modified xsi:type="dcterms:W3CDTF">2026-07-03T03:12:12Z</dcterms:modified>
</cp:coreProperties>
</file>